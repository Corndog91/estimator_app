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an.Golden\Downloads\"/>
    </mc:Choice>
  </mc:AlternateContent>
  <xr:revisionPtr revIDLastSave="0" documentId="13_ncr:1_{6876AE77-B620-46B3-8BA3-77F04B593D94}" xr6:coauthVersionLast="47" xr6:coauthVersionMax="47" xr10:uidLastSave="{00000000-0000-0000-0000-000000000000}"/>
  <bookViews>
    <workbookView xWindow="-80" yWindow="-80" windowWidth="19360" windowHeight="10360" xr2:uid="{C39AD99C-AB3A-4F35-9E2A-7AEF836F9633}"/>
  </bookViews>
  <sheets>
    <sheet name="Base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6" l="1"/>
  <c r="E7" i="6"/>
  <c r="I9" i="6"/>
  <c r="H9" i="6"/>
  <c r="G9" i="6"/>
  <c r="F9" i="6"/>
  <c r="E9" i="6"/>
  <c r="I8" i="6"/>
  <c r="H8" i="6"/>
  <c r="G8" i="6"/>
  <c r="F8" i="6"/>
  <c r="E8" i="6"/>
  <c r="H7" i="6"/>
  <c r="G7" i="6"/>
  <c r="F7" i="6"/>
  <c r="K7" i="6" l="1"/>
  <c r="J7" i="6"/>
  <c r="K9" i="6"/>
  <c r="J8" i="6"/>
  <c r="K8" i="6"/>
  <c r="J9" i="6"/>
</calcChain>
</file>

<file path=xl/sharedStrings.xml><?xml version="1.0" encoding="utf-8"?>
<sst xmlns="http://schemas.openxmlformats.org/spreadsheetml/2006/main" count="14" uniqueCount="14">
  <si>
    <t>LDW</t>
  </si>
  <si>
    <t>Sales Tax</t>
  </si>
  <si>
    <t>Enviornmental Fee</t>
  </si>
  <si>
    <t>Total</t>
  </si>
  <si>
    <t>Rental Rate Weekly</t>
  </si>
  <si>
    <t>HET Tax</t>
  </si>
  <si>
    <t>TERP  Tax</t>
  </si>
  <si>
    <t>Rental Rate Daily</t>
  </si>
  <si>
    <t>Rental Rate Monthly</t>
  </si>
  <si>
    <t>Model</t>
  </si>
  <si>
    <t>Rental Rate</t>
  </si>
  <si>
    <t>Total Without LDW</t>
  </si>
  <si>
    <t>Freight In</t>
  </si>
  <si>
    <t>Freight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</si>
</sst>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EAAAA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44" fontId="3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8" fontId="1" fillId="3" borderId="5" xfId="0" applyNumberFormat="1" applyFont="1" applyFill="1" applyBorder="1"/>
    <xf numFmtId="8" fontId="1" fillId="3" borderId="6" xfId="0" applyNumberFormat="1" applyFont="1" applyFill="1" applyBorder="1"/>
    <xf numFmtId="8" fontId="1" fillId="3" borderId="7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4" borderId="8" xfId="0" applyFont="1" applyFill="1" applyBorder="1"/>
    <xf numFmtId="0" fontId="2" fillId="5" borderId="8" xfId="0" applyFont="1" applyFill="1" applyBorder="1" applyAlignment="1">
      <alignment horizontal="center"/>
    </xf>
    <xf numFmtId="0" fontId="0" fillId="5" borderId="8" xfId="0" applyFill="1" applyBorder="1"/>
    <xf numFmtId="0" fontId="2" fillId="4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8" fontId="1" fillId="3" borderId="10" xfId="0" applyNumberFormat="1" applyFont="1" applyFill="1" applyBorder="1"/>
    <xf numFmtId="10" fontId="0" fillId="0" borderId="0" xfId="3" applyNumberFormat="1" applyFont="1" applyFill="1" applyBorder="1"/>
    <xf numFmtId="0" fontId="2" fillId="0" borderId="0" xfId="0" applyFont="1" applyAlignment="1">
      <alignment horizontal="center"/>
    </xf>
    <xf numFmtId="8" fontId="1" fillId="0" borderId="0" xfId="0" applyNumberFormat="1" applyFont="1"/>
  </cellXfs>
  <cellStyles count="4">
    <cellStyle name="Currency 2 2" xfId="2" xr:uid="{4C0DBBCD-8E86-4252-89EA-53686A21BA8A}"/>
    <cellStyle name="Normal" xfId="0" builtinId="0"/>
    <cellStyle name="Normal 2" xfId="1" xr:uid="{0F6B6F04-3CBE-49FB-91D5-E84A246B0094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5344-6045-4EBA-8E8A-E8022309C426}">
  <dimension ref="C2:K25"/>
  <sheetViews>
    <sheetView tabSelected="1" workbookViewId="0">
      <selection activeCell="I23" sqref="I23"/>
    </sheetView>
  </sheetViews>
  <sheetFormatPr defaultRowHeight="14.5" x14ac:dyDescent="0.35"/>
  <cols>
    <col min="3" max="3" width="22.81640625" customWidth="1"/>
    <col min="4" max="4" width="27.453125" customWidth="1"/>
    <col min="5" max="6" width="16.81640625" customWidth="1"/>
    <col min="7" max="8" width="15.7265625" customWidth="1"/>
    <col min="9" max="10" width="25.81640625" customWidth="1"/>
    <col min="11" max="11" width="25" customWidth="1"/>
  </cols>
  <sheetData>
    <row r="2" spans="3:11" ht="15" thickBot="1" x14ac:dyDescent="0.4"/>
    <row r="3" spans="3:11" ht="15" thickBot="1" x14ac:dyDescent="0.4">
      <c r="C3" s="1"/>
      <c r="D3" s="13" t="s">
        <v>9</v>
      </c>
    </row>
    <row r="4" spans="3:11" ht="15" thickBot="1" x14ac:dyDescent="0.4">
      <c r="C4" s="1"/>
      <c r="D4" s="11"/>
    </row>
    <row r="5" spans="3:11" ht="15" thickBot="1" x14ac:dyDescent="0.4"/>
    <row r="6" spans="3:11" ht="15" thickBot="1" x14ac:dyDescent="0.4">
      <c r="C6" s="1"/>
      <c r="D6" s="5" t="s">
        <v>10</v>
      </c>
      <c r="E6" s="6" t="s">
        <v>0</v>
      </c>
      <c r="F6" s="7" t="s">
        <v>6</v>
      </c>
      <c r="G6" s="7" t="s">
        <v>1</v>
      </c>
      <c r="H6" s="7" t="s">
        <v>5</v>
      </c>
      <c r="I6" s="7" t="s">
        <v>2</v>
      </c>
      <c r="J6" s="14" t="s">
        <v>3</v>
      </c>
      <c r="K6" s="8" t="s">
        <v>11</v>
      </c>
    </row>
    <row r="7" spans="3:11" ht="15" thickBot="1" x14ac:dyDescent="0.4">
      <c r="C7" s="5" t="s">
        <v>7</v>
      </c>
      <c r="D7" s="2">
        <v>1</v>
      </c>
      <c r="E7" s="3">
        <f>D7*0.14</f>
        <v>0.14000000000000001</v>
      </c>
      <c r="F7" s="3">
        <f>D7*0.015</f>
        <v>1.4999999999999999E-2</v>
      </c>
      <c r="G7" s="3">
        <f>D7*0.095</f>
        <v>9.5000000000000001E-2</v>
      </c>
      <c r="H7" s="3">
        <f t="shared" ref="H7:H9" si="0">D7*0.0021</f>
        <v>2.0999999999999999E-3</v>
      </c>
      <c r="I7" s="3">
        <f>D7*0.022</f>
        <v>2.1999999999999999E-2</v>
      </c>
      <c r="J7" s="15">
        <f>SUM(D7:I7)</f>
        <v>1.2741</v>
      </c>
      <c r="K7" s="4">
        <f>SUM(D7:I7)-E7</f>
        <v>1.1341000000000001</v>
      </c>
    </row>
    <row r="8" spans="3:11" ht="15" thickBot="1" x14ac:dyDescent="0.4">
      <c r="C8" s="5" t="s">
        <v>4</v>
      </c>
      <c r="D8" s="2"/>
      <c r="E8" s="3">
        <f t="shared" ref="E8:E9" si="1">D8*0.14</f>
        <v>0</v>
      </c>
      <c r="F8" s="3">
        <f>D8*0.015</f>
        <v>0</v>
      </c>
      <c r="G8" s="3">
        <f>D8*0.095</f>
        <v>0</v>
      </c>
      <c r="H8" s="3">
        <f t="shared" si="0"/>
        <v>0</v>
      </c>
      <c r="I8" s="3">
        <f>D8*0.022</f>
        <v>0</v>
      </c>
      <c r="J8" s="15">
        <f>SUM(D8:I8)</f>
        <v>0</v>
      </c>
      <c r="K8" s="4">
        <f>SUM(D8:I8)-E8</f>
        <v>0</v>
      </c>
    </row>
    <row r="9" spans="3:11" ht="15" thickBot="1" x14ac:dyDescent="0.4">
      <c r="C9" s="9" t="s">
        <v>8</v>
      </c>
      <c r="D9" s="2"/>
      <c r="E9" s="3">
        <f t="shared" si="1"/>
        <v>0</v>
      </c>
      <c r="F9" s="3">
        <f>D9*0.015</f>
        <v>0</v>
      </c>
      <c r="G9" s="3">
        <f>D9*0.095</f>
        <v>0</v>
      </c>
      <c r="H9" s="3">
        <f t="shared" si="0"/>
        <v>0</v>
      </c>
      <c r="I9" s="3">
        <f>D9*0.022</f>
        <v>0</v>
      </c>
      <c r="J9" s="15">
        <f>SUM(D9:I9)</f>
        <v>0</v>
      </c>
      <c r="K9" s="4">
        <f>SUM(D9:I9)-E9</f>
        <v>0</v>
      </c>
    </row>
    <row r="11" spans="3:11" ht="15" thickBot="1" x14ac:dyDescent="0.4"/>
    <row r="12" spans="3:11" ht="15" thickBot="1" x14ac:dyDescent="0.4">
      <c r="D12" s="10" t="s">
        <v>13</v>
      </c>
    </row>
    <row r="13" spans="3:11" ht="15" thickBot="1" x14ac:dyDescent="0.4">
      <c r="D13" s="12">
        <v>1173</v>
      </c>
    </row>
    <row r="14" spans="3:11" ht="15" thickBot="1" x14ac:dyDescent="0.4"/>
    <row r="15" spans="3:11" ht="15" thickBot="1" x14ac:dyDescent="0.4">
      <c r="D15" s="10" t="s">
        <v>12</v>
      </c>
    </row>
    <row r="16" spans="3:11" ht="15" thickBot="1" x14ac:dyDescent="0.4">
      <c r="D16" s="12">
        <v>1173</v>
      </c>
    </row>
    <row r="20" spans="3:11" x14ac:dyDescent="0.35">
      <c r="I20" s="16"/>
      <c r="J20" s="16"/>
    </row>
    <row r="22" spans="3:11" x14ac:dyDescent="0.35">
      <c r="C22" s="1"/>
      <c r="D22" s="17"/>
      <c r="E22" s="17"/>
      <c r="F22" s="17"/>
      <c r="G22" s="17"/>
      <c r="H22" s="17"/>
      <c r="I22" s="17"/>
      <c r="J22" s="17"/>
      <c r="K22" s="17"/>
    </row>
    <row r="23" spans="3:11" x14ac:dyDescent="0.35">
      <c r="C23" s="17"/>
      <c r="D23" s="18"/>
      <c r="E23" s="18"/>
      <c r="F23" s="18"/>
      <c r="G23" s="18"/>
      <c r="H23" s="18"/>
      <c r="I23" s="18"/>
      <c r="J23" s="18"/>
      <c r="K23" s="18"/>
    </row>
    <row r="24" spans="3:11" x14ac:dyDescent="0.35">
      <c r="C24" s="17"/>
      <c r="D24" s="18"/>
      <c r="E24" s="18"/>
      <c r="F24" s="18"/>
      <c r="G24" s="18"/>
      <c r="H24" s="18"/>
      <c r="I24" s="18"/>
      <c r="J24" s="18"/>
      <c r="K24" s="18"/>
    </row>
    <row r="25" spans="3:11" x14ac:dyDescent="0.35">
      <c r="C25" s="17"/>
      <c r="D25" s="18"/>
      <c r="E25" s="18"/>
      <c r="F25" s="18"/>
      <c r="G25" s="18"/>
      <c r="H25" s="18"/>
      <c r="I25" s="18"/>
      <c r="J25" s="18"/>
      <c r="K25" s="1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>HOLT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Golden</dc:creator>
  <cp:lastModifiedBy>Logan Golden</cp:lastModifiedBy>
  <dcterms:created xsi:type="dcterms:W3CDTF">2023-09-08T20:20:29Z</dcterms:created>
  <dcterms:modified xsi:type="dcterms:W3CDTF">2025-06-20T19:09:11Z</dcterms:modified>
</cp:coreProperties>
</file>